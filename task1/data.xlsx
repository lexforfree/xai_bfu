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NTkachenko\Documents\БФУ\Расписание 2025-2026\Интерпретируемое машинное обучение_2026\Практика_01_Задача регрессии\"/>
    </mc:Choice>
  </mc:AlternateContent>
  <bookViews>
    <workbookView xWindow="-120" yWindow="-120" windowWidth="29040" windowHeight="15840"/>
  </bookViews>
  <sheets>
    <sheet name="Описание данных" sheetId="5" r:id="rId1"/>
    <sheet name="Данные" sheetId="10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7" i="10" l="1"/>
  <c r="I66" i="10"/>
  <c r="I65" i="10"/>
  <c r="I63" i="10"/>
  <c r="I62" i="10"/>
  <c r="I61" i="10"/>
  <c r="I60" i="10"/>
  <c r="I59" i="10"/>
  <c r="I57" i="10"/>
  <c r="I55" i="10"/>
  <c r="I53" i="10"/>
  <c r="I52" i="10"/>
  <c r="I51" i="10"/>
  <c r="I49" i="10"/>
  <c r="I48" i="10"/>
  <c r="I46" i="10"/>
  <c r="I44" i="10"/>
  <c r="I42" i="10"/>
  <c r="I40" i="10"/>
  <c r="I39" i="10"/>
  <c r="I38" i="10"/>
  <c r="G68" i="10" l="1"/>
  <c r="G67" i="10"/>
  <c r="G66" i="10"/>
  <c r="G65" i="10"/>
  <c r="G63" i="10"/>
  <c r="G62" i="10"/>
  <c r="G61" i="10"/>
  <c r="G60" i="10"/>
  <c r="G59" i="10"/>
  <c r="G57" i="10"/>
  <c r="G55" i="10"/>
  <c r="G53" i="10"/>
  <c r="G52" i="10"/>
  <c r="G51" i="10"/>
  <c r="G49" i="10"/>
  <c r="G48" i="10"/>
  <c r="G47" i="10"/>
  <c r="G46" i="10"/>
  <c r="G44" i="10"/>
  <c r="G40" i="10"/>
  <c r="G39" i="10"/>
  <c r="G38" i="10"/>
</calcChain>
</file>

<file path=xl/sharedStrings.xml><?xml version="1.0" encoding="utf-8"?>
<sst xmlns="http://schemas.openxmlformats.org/spreadsheetml/2006/main" count="44" uniqueCount="38">
  <si>
    <t>03.07.2017</t>
  </si>
  <si>
    <t>06.07.2017</t>
  </si>
  <si>
    <t>09.07.2017</t>
  </si>
  <si>
    <t>10.07.2017</t>
  </si>
  <si>
    <t>11.07.2017</t>
  </si>
  <si>
    <t>12.07.2017</t>
  </si>
  <si>
    <t>15.07.2017</t>
  </si>
  <si>
    <t>18.07.2017</t>
  </si>
  <si>
    <t>21.07.2017</t>
  </si>
  <si>
    <t>24.07.2017</t>
  </si>
  <si>
    <t>27.07.2017</t>
  </si>
  <si>
    <t>29.07.2017</t>
  </si>
  <si>
    <t>02.08.2017</t>
  </si>
  <si>
    <t>05.08.2017</t>
  </si>
  <si>
    <t>09.08.2017</t>
  </si>
  <si>
    <t>14.08.2017</t>
  </si>
  <si>
    <t>18.08.2017</t>
  </si>
  <si>
    <t>23.08.2017</t>
  </si>
  <si>
    <t>27.08.2017</t>
  </si>
  <si>
    <t>30.08.2017</t>
  </si>
  <si>
    <t>02.09.2017</t>
  </si>
  <si>
    <t>Date</t>
  </si>
  <si>
    <t>L2</t>
  </si>
  <si>
    <t>T</t>
  </si>
  <si>
    <t>j</t>
  </si>
  <si>
    <t>A</t>
  </si>
  <si>
    <t>R</t>
  </si>
  <si>
    <t>Непрерывная переменная, принимающая значения от 10 до 40</t>
  </si>
  <si>
    <t>Непрерывная переменная, принимающая значения от -1 до 1</t>
  </si>
  <si>
    <t>Дискретная переменная, принимающая значения от 0 до 1 с шагом 0,1</t>
  </si>
  <si>
    <t>Непрерывная переменная, принимающая значения от 20 до 90, также можно рассматривать, как переменную в процентах.</t>
  </si>
  <si>
    <t>OUT</t>
  </si>
  <si>
    <t>IN1</t>
  </si>
  <si>
    <t>IN2</t>
  </si>
  <si>
    <t>IN1, IN2, OUT</t>
  </si>
  <si>
    <t>Непрерывная переменная, принимающая значения от 0 до 50, не может быть отрицательной</t>
  </si>
  <si>
    <t>Дата</t>
  </si>
  <si>
    <t>Непрерывная переменная, принимающая значения от 10 до 40, целевая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</si>
</sst>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Symbol"/>
      <family val="1"/>
      <charset val="2"/>
    </font>
    <font>
      <b/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740000"/>
      <color rgb="FFD70BBF"/>
      <color rgb="FFDEDE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tabSelected="1" zoomScale="115" zoomScaleNormal="115" workbookViewId="0">
      <selection activeCell="B4" sqref="B4"/>
    </sheetView>
  </sheetViews>
  <sheetFormatPr defaultRowHeight="15" x14ac:dyDescent="0.25"/>
  <cols>
    <col min="1" max="1" width="14.42578125" customWidth="1"/>
    <col min="2" max="2" width="115.140625" customWidth="1"/>
  </cols>
  <sheetData>
    <row r="2" spans="1:2" x14ac:dyDescent="0.25">
      <c r="A2" s="2" t="s">
        <v>21</v>
      </c>
      <c r="B2" t="s">
        <v>36</v>
      </c>
    </row>
    <row r="3" spans="1:2" x14ac:dyDescent="0.25">
      <c r="A3" s="2" t="s">
        <v>22</v>
      </c>
      <c r="B3" t="s">
        <v>37</v>
      </c>
    </row>
    <row r="4" spans="1:2" x14ac:dyDescent="0.25">
      <c r="A4" s="2" t="s">
        <v>23</v>
      </c>
      <c r="B4" t="s">
        <v>27</v>
      </c>
    </row>
    <row r="5" spans="1:2" x14ac:dyDescent="0.25">
      <c r="A5" s="6" t="s">
        <v>24</v>
      </c>
      <c r="B5" t="s">
        <v>30</v>
      </c>
    </row>
    <row r="6" spans="1:2" x14ac:dyDescent="0.25">
      <c r="A6" s="2" t="s">
        <v>25</v>
      </c>
      <c r="B6" t="s">
        <v>28</v>
      </c>
    </row>
    <row r="7" spans="1:2" x14ac:dyDescent="0.25">
      <c r="A7" s="2" t="s">
        <v>26</v>
      </c>
      <c r="B7" t="s">
        <v>29</v>
      </c>
    </row>
    <row r="8" spans="1:2" x14ac:dyDescent="0.25">
      <c r="A8" s="2" t="s">
        <v>34</v>
      </c>
      <c r="B8" t="s">
        <v>35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69"/>
  <sheetViews>
    <sheetView workbookViewId="0">
      <selection activeCell="E21" sqref="E21"/>
    </sheetView>
  </sheetViews>
  <sheetFormatPr defaultRowHeight="15" x14ac:dyDescent="0.25"/>
  <cols>
    <col min="1" max="1" width="11" style="11" customWidth="1"/>
    <col min="7" max="9" width="9.140625" style="9"/>
  </cols>
  <sheetData>
    <row r="1" spans="1:9" x14ac:dyDescent="0.25">
      <c r="A1" s="2" t="s">
        <v>21</v>
      </c>
      <c r="B1" s="8" t="s">
        <v>22</v>
      </c>
      <c r="C1" s="2" t="s">
        <v>23</v>
      </c>
      <c r="D1" s="6" t="s">
        <v>24</v>
      </c>
      <c r="E1" s="2" t="s">
        <v>25</v>
      </c>
      <c r="F1" s="2" t="s">
        <v>26</v>
      </c>
      <c r="G1" s="10" t="s">
        <v>32</v>
      </c>
      <c r="H1" s="10" t="s">
        <v>33</v>
      </c>
      <c r="I1" s="10" t="s">
        <v>31</v>
      </c>
    </row>
    <row r="2" spans="1:9" x14ac:dyDescent="0.25">
      <c r="A2" s="3" t="s">
        <v>0</v>
      </c>
      <c r="B2" s="4">
        <v>24.894090909090913</v>
      </c>
      <c r="C2" s="5">
        <v>22.3</v>
      </c>
      <c r="D2" s="7">
        <v>46</v>
      </c>
      <c r="E2" s="1">
        <v>-0.75</v>
      </c>
      <c r="F2" s="1">
        <v>0</v>
      </c>
      <c r="G2" s="9">
        <v>55.95</v>
      </c>
      <c r="H2" s="9">
        <v>0</v>
      </c>
      <c r="I2" s="9">
        <v>0</v>
      </c>
    </row>
    <row r="3" spans="1:9" x14ac:dyDescent="0.25">
      <c r="A3" s="3">
        <v>42920</v>
      </c>
      <c r="B3" s="4">
        <v>24.550999999999998</v>
      </c>
      <c r="C3" s="5">
        <v>23.1</v>
      </c>
      <c r="D3" s="7">
        <v>45</v>
      </c>
      <c r="E3" s="1">
        <v>-0.68</v>
      </c>
      <c r="F3" s="1">
        <v>0</v>
      </c>
      <c r="G3" s="9">
        <v>0</v>
      </c>
      <c r="H3" s="9">
        <v>0</v>
      </c>
      <c r="I3" s="9">
        <v>43.021999999999998</v>
      </c>
    </row>
    <row r="4" spans="1:9" x14ac:dyDescent="0.25">
      <c r="A4" s="3">
        <v>42921</v>
      </c>
      <c r="B4" s="4">
        <v>24.007000000000001</v>
      </c>
      <c r="C4" s="5">
        <v>23</v>
      </c>
      <c r="D4" s="7">
        <v>46</v>
      </c>
      <c r="E4" s="1">
        <v>-0.59</v>
      </c>
      <c r="F4" s="1">
        <v>0.1</v>
      </c>
      <c r="G4" s="9">
        <v>0</v>
      </c>
      <c r="H4" s="9">
        <v>0</v>
      </c>
      <c r="I4" s="9">
        <v>29.981000000000002</v>
      </c>
    </row>
    <row r="5" spans="1:9" x14ac:dyDescent="0.25">
      <c r="A5" s="3" t="s">
        <v>1</v>
      </c>
      <c r="B5" s="4">
        <v>23.460545454545457</v>
      </c>
      <c r="C5" s="5">
        <v>24</v>
      </c>
      <c r="D5" s="7">
        <v>67</v>
      </c>
      <c r="E5" s="1">
        <v>-0.51</v>
      </c>
      <c r="F5" s="1">
        <v>0.1</v>
      </c>
      <c r="G5" s="9">
        <v>22.602</v>
      </c>
      <c r="H5" s="9">
        <v>0</v>
      </c>
      <c r="I5" s="9">
        <v>4.649</v>
      </c>
    </row>
    <row r="6" spans="1:9" x14ac:dyDescent="0.25">
      <c r="A6" s="3">
        <v>42923</v>
      </c>
      <c r="B6" s="4">
        <v>23.108000000000001</v>
      </c>
      <c r="C6" s="5">
        <v>24</v>
      </c>
      <c r="D6" s="7">
        <v>46</v>
      </c>
      <c r="E6" s="1">
        <v>-0.46</v>
      </c>
      <c r="F6" s="1">
        <v>0</v>
      </c>
      <c r="G6" s="9">
        <v>20.343</v>
      </c>
      <c r="H6" s="9">
        <v>0</v>
      </c>
      <c r="I6" s="9">
        <v>7.6260000000000003</v>
      </c>
    </row>
    <row r="7" spans="1:9" x14ac:dyDescent="0.25">
      <c r="A7" s="3">
        <v>42924</v>
      </c>
      <c r="B7" s="4">
        <v>22.783000000000001</v>
      </c>
      <c r="C7" s="5">
        <v>17</v>
      </c>
      <c r="D7" s="7">
        <v>46</v>
      </c>
      <c r="E7" s="1">
        <v>-0.37</v>
      </c>
      <c r="F7" s="1">
        <v>0</v>
      </c>
      <c r="G7" s="9">
        <v>0</v>
      </c>
      <c r="H7" s="9">
        <v>0</v>
      </c>
      <c r="I7" s="9">
        <v>0</v>
      </c>
    </row>
    <row r="8" spans="1:9" x14ac:dyDescent="0.25">
      <c r="A8" s="3" t="s">
        <v>2</v>
      </c>
      <c r="B8" s="4">
        <v>22.693818181818184</v>
      </c>
      <c r="C8" s="5">
        <v>20</v>
      </c>
      <c r="D8" s="7">
        <v>58</v>
      </c>
      <c r="E8" s="1">
        <v>-0.26</v>
      </c>
      <c r="F8" s="1">
        <v>0</v>
      </c>
      <c r="G8" s="9">
        <v>24.23</v>
      </c>
      <c r="H8" s="9">
        <v>0</v>
      </c>
      <c r="I8" s="9">
        <v>7.9530000000000003</v>
      </c>
    </row>
    <row r="9" spans="1:9" x14ac:dyDescent="0.25">
      <c r="A9" s="3" t="s">
        <v>3</v>
      </c>
      <c r="B9" s="4">
        <v>22.344999999999999</v>
      </c>
      <c r="C9" s="5">
        <v>26</v>
      </c>
      <c r="D9" s="7">
        <v>60</v>
      </c>
      <c r="E9" s="1">
        <v>-0.2</v>
      </c>
      <c r="F9" s="1">
        <v>0</v>
      </c>
      <c r="G9" s="9">
        <v>22.632999999999999</v>
      </c>
      <c r="H9" s="9">
        <v>0</v>
      </c>
      <c r="I9" s="9">
        <v>7.5540000000000003</v>
      </c>
    </row>
    <row r="10" spans="1:9" x14ac:dyDescent="0.25">
      <c r="A10" s="3" t="s">
        <v>4</v>
      </c>
      <c r="B10" s="4">
        <v>21.168600000000005</v>
      </c>
      <c r="C10" s="5">
        <v>24.5</v>
      </c>
      <c r="D10" s="7">
        <v>61</v>
      </c>
      <c r="E10" s="1">
        <v>-0.15</v>
      </c>
      <c r="F10" s="1">
        <v>0</v>
      </c>
      <c r="G10" s="9">
        <v>0</v>
      </c>
      <c r="H10" s="9">
        <v>0</v>
      </c>
      <c r="I10" s="9">
        <v>25.395</v>
      </c>
    </row>
    <row r="11" spans="1:9" x14ac:dyDescent="0.25">
      <c r="A11" s="3" t="s">
        <v>5</v>
      </c>
      <c r="B11" s="4">
        <v>21.322363636363637</v>
      </c>
      <c r="C11" s="5">
        <v>25</v>
      </c>
      <c r="D11" s="7">
        <v>56</v>
      </c>
      <c r="E11" s="1">
        <v>-0.09</v>
      </c>
      <c r="F11" s="1">
        <v>0</v>
      </c>
      <c r="G11" s="9">
        <v>40.539000000000001</v>
      </c>
      <c r="H11" s="9">
        <v>0</v>
      </c>
      <c r="I11" s="9">
        <v>22.137</v>
      </c>
    </row>
    <row r="12" spans="1:9" x14ac:dyDescent="0.25">
      <c r="A12" s="3">
        <v>42929</v>
      </c>
      <c r="B12" s="4">
        <v>21.198</v>
      </c>
      <c r="C12" s="5">
        <v>24.9</v>
      </c>
      <c r="D12" s="7">
        <v>59</v>
      </c>
      <c r="E12" s="1">
        <v>-0.01</v>
      </c>
      <c r="F12" s="1">
        <v>0</v>
      </c>
      <c r="G12" s="9">
        <v>36.04</v>
      </c>
      <c r="H12" s="9">
        <v>0</v>
      </c>
      <c r="I12" s="9">
        <v>18.364999999999998</v>
      </c>
    </row>
    <row r="13" spans="1:9" x14ac:dyDescent="0.25">
      <c r="A13" s="3">
        <v>42930</v>
      </c>
      <c r="B13" s="4">
        <v>20.902000000000001</v>
      </c>
      <c r="C13" s="5">
        <v>25.5</v>
      </c>
      <c r="D13" s="7">
        <v>38</v>
      </c>
      <c r="E13" s="1">
        <v>0</v>
      </c>
      <c r="F13" s="1">
        <v>0</v>
      </c>
      <c r="G13" s="9">
        <v>0</v>
      </c>
      <c r="H13" s="9">
        <v>0</v>
      </c>
      <c r="I13" s="9">
        <v>37.207000000000001</v>
      </c>
    </row>
    <row r="14" spans="1:9" x14ac:dyDescent="0.25">
      <c r="A14" s="3" t="s">
        <v>6</v>
      </c>
      <c r="B14" s="4">
        <v>20.861272727272731</v>
      </c>
      <c r="C14" s="5">
        <v>26</v>
      </c>
      <c r="D14" s="7">
        <v>49</v>
      </c>
      <c r="E14" s="1">
        <v>0</v>
      </c>
      <c r="F14" s="1">
        <v>0</v>
      </c>
      <c r="G14" s="9">
        <v>41.356000000000002</v>
      </c>
      <c r="H14" s="9">
        <v>0</v>
      </c>
      <c r="I14" s="9">
        <v>16.562000000000001</v>
      </c>
    </row>
    <row r="15" spans="1:9" x14ac:dyDescent="0.25">
      <c r="A15" s="3">
        <v>42932</v>
      </c>
      <c r="B15" s="4">
        <v>20.567</v>
      </c>
      <c r="C15" s="5">
        <v>22.6</v>
      </c>
      <c r="D15" s="7">
        <v>45</v>
      </c>
      <c r="E15" s="1">
        <v>0</v>
      </c>
      <c r="F15" s="1">
        <v>0</v>
      </c>
      <c r="G15" s="9">
        <v>0</v>
      </c>
      <c r="H15" s="9">
        <v>0</v>
      </c>
      <c r="I15" s="9">
        <v>0</v>
      </c>
    </row>
    <row r="16" spans="1:9" x14ac:dyDescent="0.25">
      <c r="A16" s="3">
        <v>42933</v>
      </c>
      <c r="B16" s="4">
        <v>20.745999999999999</v>
      </c>
      <c r="C16" s="5">
        <v>26.1</v>
      </c>
      <c r="D16" s="7">
        <v>43</v>
      </c>
      <c r="E16" s="1">
        <v>0</v>
      </c>
      <c r="F16" s="1">
        <v>0</v>
      </c>
      <c r="G16" s="9">
        <v>0</v>
      </c>
      <c r="H16" s="9">
        <v>0</v>
      </c>
      <c r="I16" s="9">
        <v>12.755000000000001</v>
      </c>
    </row>
    <row r="17" spans="1:9" x14ac:dyDescent="0.25">
      <c r="A17" s="3" t="s">
        <v>7</v>
      </c>
      <c r="B17" s="4">
        <v>20.805545454545452</v>
      </c>
      <c r="C17" s="5">
        <v>24.9</v>
      </c>
      <c r="D17" s="7">
        <v>53</v>
      </c>
      <c r="E17" s="1">
        <v>0</v>
      </c>
      <c r="F17" s="1">
        <v>0</v>
      </c>
      <c r="G17" s="9">
        <v>40.765000000000001</v>
      </c>
      <c r="H17" s="9">
        <v>0</v>
      </c>
      <c r="I17" s="9">
        <v>6.3250000000000002</v>
      </c>
    </row>
    <row r="18" spans="1:9" x14ac:dyDescent="0.25">
      <c r="A18" s="3">
        <v>42935</v>
      </c>
      <c r="B18" s="4">
        <v>20.565999999999999</v>
      </c>
      <c r="C18" s="5">
        <v>25.5</v>
      </c>
      <c r="D18" s="7">
        <v>49</v>
      </c>
      <c r="E18" s="1">
        <v>0</v>
      </c>
      <c r="F18" s="1">
        <v>0.1</v>
      </c>
      <c r="G18" s="9">
        <v>0</v>
      </c>
      <c r="H18" s="9">
        <v>0</v>
      </c>
      <c r="I18" s="9">
        <v>0</v>
      </c>
    </row>
    <row r="19" spans="1:9" x14ac:dyDescent="0.25">
      <c r="A19" s="3">
        <v>42936</v>
      </c>
      <c r="B19" s="4">
        <v>20.401</v>
      </c>
      <c r="C19" s="5">
        <v>25.5</v>
      </c>
      <c r="D19" s="7">
        <v>48</v>
      </c>
      <c r="E19" s="1">
        <v>0</v>
      </c>
      <c r="F19" s="1">
        <v>0.1</v>
      </c>
      <c r="G19" s="9">
        <v>0</v>
      </c>
      <c r="H19" s="9">
        <v>0</v>
      </c>
      <c r="I19" s="9">
        <v>17.491</v>
      </c>
    </row>
    <row r="20" spans="1:9" x14ac:dyDescent="0.25">
      <c r="A20" s="3" t="s">
        <v>8</v>
      </c>
      <c r="B20" s="4">
        <v>20.267299999999999</v>
      </c>
      <c r="C20" s="5">
        <v>23.9</v>
      </c>
      <c r="D20" s="7">
        <v>55</v>
      </c>
      <c r="E20" s="1">
        <v>0</v>
      </c>
      <c r="F20" s="1">
        <v>0.1</v>
      </c>
      <c r="G20" s="9">
        <v>40.631</v>
      </c>
      <c r="H20" s="9">
        <v>0</v>
      </c>
      <c r="I20" s="9">
        <v>3.58</v>
      </c>
    </row>
    <row r="21" spans="1:9" x14ac:dyDescent="0.25">
      <c r="A21" s="3">
        <v>42938</v>
      </c>
      <c r="B21" s="4">
        <v>20.312000000000001</v>
      </c>
      <c r="C21" s="5">
        <v>23.8</v>
      </c>
      <c r="D21" s="7">
        <v>56</v>
      </c>
      <c r="E21" s="1">
        <v>0</v>
      </c>
      <c r="F21" s="1">
        <v>0.1</v>
      </c>
      <c r="G21" s="9">
        <v>15.553000000000001</v>
      </c>
      <c r="H21" s="9">
        <v>0</v>
      </c>
      <c r="I21" s="9">
        <v>27.574000000000002</v>
      </c>
    </row>
    <row r="22" spans="1:9" x14ac:dyDescent="0.25">
      <c r="A22" s="3">
        <v>42939</v>
      </c>
      <c r="B22" s="4">
        <v>20.385000000000002</v>
      </c>
      <c r="C22" s="5">
        <v>22.7</v>
      </c>
      <c r="D22" s="7">
        <v>55</v>
      </c>
      <c r="E22" s="1">
        <v>0</v>
      </c>
      <c r="F22" s="1">
        <v>0</v>
      </c>
      <c r="G22" s="9">
        <v>0</v>
      </c>
      <c r="H22" s="9">
        <v>0</v>
      </c>
      <c r="I22" s="9">
        <v>0</v>
      </c>
    </row>
    <row r="23" spans="1:9" x14ac:dyDescent="0.25">
      <c r="A23" s="3" t="s">
        <v>9</v>
      </c>
      <c r="B23" s="4">
        <v>20.4148</v>
      </c>
      <c r="C23" s="5">
        <v>24.5</v>
      </c>
      <c r="D23" s="7">
        <v>61</v>
      </c>
      <c r="E23" s="1">
        <v>0</v>
      </c>
      <c r="F23" s="1">
        <v>0</v>
      </c>
      <c r="G23" s="9">
        <v>15.416</v>
      </c>
      <c r="H23" s="9">
        <v>0</v>
      </c>
      <c r="I23" s="9">
        <v>25.204000000000001</v>
      </c>
    </row>
    <row r="24" spans="1:9" x14ac:dyDescent="0.25">
      <c r="A24" s="3">
        <v>42941</v>
      </c>
      <c r="B24" s="4">
        <v>20.449000000000002</v>
      </c>
      <c r="C24" s="5">
        <v>24.5</v>
      </c>
      <c r="D24" s="7">
        <v>64</v>
      </c>
      <c r="E24" s="1">
        <v>0</v>
      </c>
      <c r="F24" s="1">
        <v>0.1</v>
      </c>
      <c r="G24" s="9">
        <v>16.568999999999999</v>
      </c>
      <c r="H24" s="9">
        <v>0</v>
      </c>
      <c r="I24" s="9">
        <v>9.4359999999999999</v>
      </c>
    </row>
    <row r="25" spans="1:9" x14ac:dyDescent="0.25">
      <c r="A25" s="3">
        <v>42942</v>
      </c>
      <c r="B25" s="4">
        <v>20.533000000000001</v>
      </c>
      <c r="C25" s="5">
        <v>24.5</v>
      </c>
      <c r="D25" s="7">
        <v>63</v>
      </c>
      <c r="E25" s="1">
        <v>0</v>
      </c>
      <c r="F25" s="1">
        <v>0</v>
      </c>
      <c r="G25" s="9">
        <v>5.415</v>
      </c>
      <c r="H25" s="9">
        <v>0</v>
      </c>
      <c r="I25" s="9">
        <v>10.0443</v>
      </c>
    </row>
    <row r="26" spans="1:9" x14ac:dyDescent="0.25">
      <c r="A26" s="3" t="s">
        <v>10</v>
      </c>
      <c r="B26" s="4">
        <v>20.689272727272723</v>
      </c>
      <c r="C26" s="5">
        <v>24.2</v>
      </c>
      <c r="D26" s="7">
        <v>62</v>
      </c>
      <c r="E26" s="1">
        <v>0</v>
      </c>
      <c r="F26" s="1">
        <v>0</v>
      </c>
      <c r="G26" s="9">
        <v>15.394</v>
      </c>
      <c r="H26" s="9">
        <v>0</v>
      </c>
      <c r="I26" s="9">
        <v>5.0119999999999996</v>
      </c>
    </row>
    <row r="27" spans="1:9" x14ac:dyDescent="0.25">
      <c r="A27" s="3">
        <v>42944</v>
      </c>
      <c r="B27" s="4">
        <v>20.515000000000001</v>
      </c>
      <c r="C27" s="5">
        <v>24</v>
      </c>
      <c r="D27" s="7">
        <v>66</v>
      </c>
      <c r="E27" s="1">
        <v>0</v>
      </c>
      <c r="F27" s="1">
        <v>0</v>
      </c>
      <c r="G27" s="9">
        <v>16.427</v>
      </c>
      <c r="H27" s="9">
        <v>0</v>
      </c>
      <c r="I27" s="9">
        <v>3.6739999999999999</v>
      </c>
    </row>
    <row r="28" spans="1:9" x14ac:dyDescent="0.25">
      <c r="A28" s="3" t="s">
        <v>11</v>
      </c>
      <c r="B28" s="4">
        <v>20.477272727272727</v>
      </c>
      <c r="C28" s="5">
        <v>27.1</v>
      </c>
      <c r="D28" s="7">
        <v>55</v>
      </c>
      <c r="E28" s="1">
        <v>0</v>
      </c>
      <c r="F28" s="1">
        <v>0</v>
      </c>
      <c r="G28" s="9">
        <v>30.34</v>
      </c>
      <c r="H28" s="9">
        <v>0</v>
      </c>
      <c r="I28" s="9">
        <v>4.7460000000000004</v>
      </c>
    </row>
    <row r="29" spans="1:9" x14ac:dyDescent="0.25">
      <c r="A29" s="3">
        <v>42946</v>
      </c>
      <c r="B29" s="4">
        <v>20.367000000000001</v>
      </c>
      <c r="C29" s="5">
        <v>24.5</v>
      </c>
      <c r="D29" s="7">
        <v>60</v>
      </c>
      <c r="E29" s="1">
        <v>0</v>
      </c>
      <c r="F29" s="1">
        <v>0</v>
      </c>
      <c r="G29" s="9">
        <v>0</v>
      </c>
      <c r="H29" s="9">
        <v>0</v>
      </c>
      <c r="I29" s="9">
        <v>0</v>
      </c>
    </row>
    <row r="30" spans="1:9" x14ac:dyDescent="0.25">
      <c r="A30" s="3">
        <v>42947</v>
      </c>
      <c r="B30" s="4">
        <v>20.407</v>
      </c>
      <c r="C30" s="5">
        <v>25.9</v>
      </c>
      <c r="D30" s="7">
        <v>62</v>
      </c>
      <c r="E30" s="1">
        <v>0</v>
      </c>
      <c r="F30" s="1">
        <v>0</v>
      </c>
      <c r="G30" s="9">
        <v>16.416</v>
      </c>
      <c r="H30" s="9">
        <v>0</v>
      </c>
      <c r="I30" s="9">
        <v>2.31</v>
      </c>
    </row>
    <row r="31" spans="1:9" x14ac:dyDescent="0.25">
      <c r="A31" s="3">
        <v>42948</v>
      </c>
      <c r="B31" s="4">
        <v>20.446000000000002</v>
      </c>
      <c r="C31" s="5">
        <v>26</v>
      </c>
      <c r="D31" s="7">
        <v>59</v>
      </c>
      <c r="E31" s="1">
        <v>0</v>
      </c>
      <c r="F31" s="1">
        <v>0</v>
      </c>
      <c r="G31" s="9">
        <v>16.117000000000001</v>
      </c>
      <c r="H31" s="9">
        <v>0</v>
      </c>
      <c r="I31" s="9">
        <v>7.31</v>
      </c>
    </row>
    <row r="32" spans="1:9" x14ac:dyDescent="0.25">
      <c r="A32" s="3" t="s">
        <v>12</v>
      </c>
      <c r="B32" s="4">
        <v>20.561818181818182</v>
      </c>
      <c r="C32" s="5">
        <v>25.5</v>
      </c>
      <c r="D32" s="7">
        <v>68</v>
      </c>
      <c r="E32" s="1">
        <v>0</v>
      </c>
      <c r="F32" s="1">
        <v>0</v>
      </c>
      <c r="G32" s="9">
        <v>15.786</v>
      </c>
      <c r="H32" s="9">
        <v>0</v>
      </c>
      <c r="I32" s="9">
        <v>7.4269999999999996</v>
      </c>
    </row>
    <row r="33" spans="1:9" x14ac:dyDescent="0.25">
      <c r="A33" s="3">
        <v>42950</v>
      </c>
      <c r="B33" s="4">
        <v>20.478999999999999</v>
      </c>
      <c r="C33" s="5">
        <v>25</v>
      </c>
      <c r="D33" s="7">
        <v>51</v>
      </c>
      <c r="E33" s="1">
        <v>0</v>
      </c>
      <c r="F33" s="1">
        <v>0</v>
      </c>
      <c r="G33" s="9">
        <v>16.262</v>
      </c>
      <c r="H33" s="9">
        <v>0</v>
      </c>
      <c r="I33" s="9">
        <v>3.3250000000000002</v>
      </c>
    </row>
    <row r="34" spans="1:9" x14ac:dyDescent="0.25">
      <c r="A34" s="3">
        <v>42951</v>
      </c>
      <c r="B34" s="4">
        <v>20.335999999999999</v>
      </c>
      <c r="C34" s="5">
        <v>27.5</v>
      </c>
      <c r="D34" s="7">
        <v>53</v>
      </c>
      <c r="E34" s="1">
        <v>0</v>
      </c>
      <c r="F34" s="1">
        <v>0</v>
      </c>
      <c r="G34" s="9">
        <v>16.667999999999999</v>
      </c>
      <c r="H34" s="9">
        <v>0</v>
      </c>
      <c r="I34" s="9">
        <v>5.0309999999999997</v>
      </c>
    </row>
    <row r="35" spans="1:9" x14ac:dyDescent="0.25">
      <c r="A35" s="3" t="s">
        <v>13</v>
      </c>
      <c r="B35" s="4">
        <v>20.283000000000001</v>
      </c>
      <c r="C35" s="5">
        <v>27.1</v>
      </c>
      <c r="D35" s="7">
        <v>44</v>
      </c>
      <c r="E35" s="1">
        <v>0</v>
      </c>
      <c r="F35" s="1">
        <v>0</v>
      </c>
      <c r="G35" s="9">
        <v>31.646999999999998</v>
      </c>
      <c r="H35" s="9">
        <v>0</v>
      </c>
      <c r="I35" s="9">
        <v>11.11</v>
      </c>
    </row>
    <row r="36" spans="1:9" x14ac:dyDescent="0.25">
      <c r="A36" s="3">
        <v>42953</v>
      </c>
      <c r="B36" s="4">
        <v>20.291</v>
      </c>
      <c r="C36" s="5">
        <v>26</v>
      </c>
      <c r="D36" s="7">
        <v>49</v>
      </c>
      <c r="E36" s="1">
        <v>0</v>
      </c>
      <c r="F36" s="1">
        <v>0</v>
      </c>
      <c r="G36" s="9">
        <v>0</v>
      </c>
      <c r="H36" s="9">
        <v>0</v>
      </c>
      <c r="I36" s="9">
        <v>0</v>
      </c>
    </row>
    <row r="37" spans="1:9" x14ac:dyDescent="0.25">
      <c r="A37" s="3">
        <v>42954</v>
      </c>
      <c r="B37" s="4">
        <v>20.356000000000002</v>
      </c>
      <c r="C37" s="5">
        <v>26.5</v>
      </c>
      <c r="D37" s="7">
        <v>53</v>
      </c>
      <c r="E37" s="1">
        <v>0</v>
      </c>
      <c r="F37" s="1">
        <v>0</v>
      </c>
      <c r="G37" s="9">
        <v>15.403</v>
      </c>
      <c r="H37" s="9">
        <v>0</v>
      </c>
      <c r="I37" s="9">
        <v>11.052</v>
      </c>
    </row>
    <row r="38" spans="1:9" x14ac:dyDescent="0.25">
      <c r="A38" s="3">
        <v>42955</v>
      </c>
      <c r="B38" s="4">
        <v>20.582000000000001</v>
      </c>
      <c r="C38" s="5">
        <v>27.7</v>
      </c>
      <c r="D38" s="7">
        <v>39</v>
      </c>
      <c r="E38" s="1">
        <v>0</v>
      </c>
      <c r="F38" s="1">
        <v>0</v>
      </c>
      <c r="G38" s="9">
        <f>5.024+5.346+10.517</f>
        <v>20.887</v>
      </c>
      <c r="H38" s="9">
        <v>0</v>
      </c>
      <c r="I38" s="9">
        <f>4.042+3.592</f>
        <v>7.6340000000000003</v>
      </c>
    </row>
    <row r="39" spans="1:9" x14ac:dyDescent="0.25">
      <c r="A39" s="3" t="s">
        <v>14</v>
      </c>
      <c r="B39" s="4">
        <v>20.617000000000001</v>
      </c>
      <c r="C39" s="5">
        <v>28.1</v>
      </c>
      <c r="D39" s="7">
        <v>40</v>
      </c>
      <c r="E39" s="1">
        <v>0</v>
      </c>
      <c r="F39" s="1">
        <v>0</v>
      </c>
      <c r="G39" s="9">
        <f>5.304+5.272+15.3</f>
        <v>25.876000000000001</v>
      </c>
      <c r="H39" s="9">
        <v>0</v>
      </c>
      <c r="I39" s="9">
        <f>2.162+4.9</f>
        <v>7.0620000000000003</v>
      </c>
    </row>
    <row r="40" spans="1:9" x14ac:dyDescent="0.25">
      <c r="A40" s="3">
        <v>42957</v>
      </c>
      <c r="B40" s="4">
        <v>20.704000000000001</v>
      </c>
      <c r="C40" s="5">
        <v>24.8</v>
      </c>
      <c r="D40" s="7">
        <v>67</v>
      </c>
      <c r="E40" s="1">
        <v>0</v>
      </c>
      <c r="F40" s="1">
        <v>0</v>
      </c>
      <c r="G40" s="9">
        <f>10.276+10.282+31.513</f>
        <v>52.070999999999998</v>
      </c>
      <c r="H40" s="9">
        <v>0</v>
      </c>
      <c r="I40" s="9">
        <f>4.45+5.272+5.514</f>
        <v>15.236000000000001</v>
      </c>
    </row>
    <row r="41" spans="1:9" x14ac:dyDescent="0.25">
      <c r="A41" s="3">
        <v>42958</v>
      </c>
      <c r="B41" s="4">
        <v>20.757999999999999</v>
      </c>
      <c r="C41" s="5">
        <v>28</v>
      </c>
      <c r="D41" s="7">
        <v>50</v>
      </c>
      <c r="E41" s="1">
        <v>0</v>
      </c>
      <c r="F41" s="1">
        <v>0.1</v>
      </c>
      <c r="G41" s="9">
        <v>0</v>
      </c>
      <c r="H41" s="9">
        <v>0</v>
      </c>
      <c r="I41" s="9">
        <v>0</v>
      </c>
    </row>
    <row r="42" spans="1:9" x14ac:dyDescent="0.25">
      <c r="A42" s="3">
        <v>42959</v>
      </c>
      <c r="B42" s="4">
        <v>20.811</v>
      </c>
      <c r="C42" s="5">
        <v>25.8</v>
      </c>
      <c r="D42" s="7">
        <v>63</v>
      </c>
      <c r="E42" s="1">
        <v>0</v>
      </c>
      <c r="F42" s="1">
        <v>0.1</v>
      </c>
      <c r="G42" s="9">
        <v>51.383000000000003</v>
      </c>
      <c r="H42" s="9">
        <v>0</v>
      </c>
      <c r="I42" s="9">
        <f>10.382</f>
        <v>10.382</v>
      </c>
    </row>
    <row r="43" spans="1:9" x14ac:dyDescent="0.25">
      <c r="A43" s="3">
        <v>42960</v>
      </c>
      <c r="B43" s="4">
        <v>20.878</v>
      </c>
      <c r="C43" s="5">
        <v>23.5</v>
      </c>
      <c r="D43" s="7">
        <v>56</v>
      </c>
      <c r="E43" s="1">
        <v>0</v>
      </c>
      <c r="F43" s="1">
        <v>0</v>
      </c>
      <c r="G43" s="9">
        <v>0</v>
      </c>
      <c r="H43" s="9">
        <v>0</v>
      </c>
      <c r="I43" s="9">
        <v>0</v>
      </c>
    </row>
    <row r="44" spans="1:9" x14ac:dyDescent="0.25">
      <c r="A44" s="3" t="s">
        <v>15</v>
      </c>
      <c r="B44" s="4">
        <v>20.925363636363638</v>
      </c>
      <c r="C44" s="5">
        <v>27.7</v>
      </c>
      <c r="D44" s="7">
        <v>45</v>
      </c>
      <c r="E44" s="1">
        <v>0</v>
      </c>
      <c r="F44" s="1">
        <v>0.2</v>
      </c>
      <c r="G44" s="9">
        <f>30.151+15.005+5.067</f>
        <v>50.222999999999999</v>
      </c>
      <c r="H44" s="9">
        <v>0</v>
      </c>
      <c r="I44" s="9">
        <f>2.955+3.596</f>
        <v>6.5510000000000002</v>
      </c>
    </row>
    <row r="45" spans="1:9" x14ac:dyDescent="0.25">
      <c r="A45" s="3">
        <v>42962</v>
      </c>
      <c r="B45" s="4">
        <v>20.899000000000001</v>
      </c>
      <c r="C45" s="5">
        <v>24.5</v>
      </c>
      <c r="D45" s="7">
        <v>56</v>
      </c>
      <c r="E45" s="1">
        <v>0</v>
      </c>
      <c r="F45" s="1">
        <v>0.2</v>
      </c>
      <c r="G45" s="9">
        <v>0</v>
      </c>
      <c r="H45" s="9">
        <v>0</v>
      </c>
      <c r="I45" s="9">
        <v>0</v>
      </c>
    </row>
    <row r="46" spans="1:9" x14ac:dyDescent="0.25">
      <c r="A46" s="3">
        <v>42963</v>
      </c>
      <c r="B46" s="4">
        <v>20.856999999999999</v>
      </c>
      <c r="C46" s="5">
        <v>23.9</v>
      </c>
      <c r="D46" s="7">
        <v>76</v>
      </c>
      <c r="E46" s="1">
        <v>0</v>
      </c>
      <c r="F46" s="1">
        <v>0</v>
      </c>
      <c r="G46" s="9">
        <f>15.532+2.669+7.644</f>
        <v>25.844999999999999</v>
      </c>
      <c r="H46" s="9">
        <v>0</v>
      </c>
      <c r="I46" s="9">
        <f>8.228+3.655</f>
        <v>11.882999999999999</v>
      </c>
    </row>
    <row r="47" spans="1:9" x14ac:dyDescent="0.25">
      <c r="A47" s="3">
        <v>42964</v>
      </c>
      <c r="B47" s="4">
        <v>20.977</v>
      </c>
      <c r="C47" s="5">
        <v>24</v>
      </c>
      <c r="D47" s="7">
        <v>70</v>
      </c>
      <c r="E47" s="1">
        <v>0</v>
      </c>
      <c r="F47" s="1">
        <v>0</v>
      </c>
      <c r="G47" s="9">
        <f>15.438+7.504+7.543</f>
        <v>30.484999999999999</v>
      </c>
      <c r="H47" s="9">
        <v>0</v>
      </c>
      <c r="I47" s="9">
        <v>0</v>
      </c>
    </row>
    <row r="48" spans="1:9" x14ac:dyDescent="0.25">
      <c r="A48" s="3" t="s">
        <v>16</v>
      </c>
      <c r="B48" s="4">
        <v>21.039636363636365</v>
      </c>
      <c r="C48" s="5">
        <v>26.1</v>
      </c>
      <c r="D48" s="7">
        <v>69</v>
      </c>
      <c r="E48" s="1">
        <v>0</v>
      </c>
      <c r="F48" s="1">
        <v>0</v>
      </c>
      <c r="G48" s="9">
        <f>16.453+5.276+5.864</f>
        <v>27.593</v>
      </c>
      <c r="H48" s="9">
        <v>0</v>
      </c>
      <c r="I48" s="9">
        <f>8.555+5.901</f>
        <v>14.456</v>
      </c>
    </row>
    <row r="49" spans="1:9" x14ac:dyDescent="0.25">
      <c r="A49" s="3">
        <v>42966</v>
      </c>
      <c r="B49" s="4">
        <v>21.067</v>
      </c>
      <c r="C49" s="5">
        <v>26.1</v>
      </c>
      <c r="D49" s="7">
        <v>62</v>
      </c>
      <c r="E49" s="1">
        <v>0</v>
      </c>
      <c r="F49" s="1">
        <v>0</v>
      </c>
      <c r="G49" s="9">
        <f>30.893+5.289+15.866</f>
        <v>52.048000000000002</v>
      </c>
      <c r="H49" s="9">
        <v>0</v>
      </c>
      <c r="I49" s="9">
        <f>5.276+1.834</f>
        <v>7.1099999999999994</v>
      </c>
    </row>
    <row r="50" spans="1:9" x14ac:dyDescent="0.25">
      <c r="A50" s="3">
        <v>42967</v>
      </c>
      <c r="B50" s="4">
        <v>21.103000000000002</v>
      </c>
      <c r="C50" s="5">
        <v>23.5</v>
      </c>
      <c r="D50" s="7">
        <v>56</v>
      </c>
      <c r="E50" s="1">
        <v>0</v>
      </c>
      <c r="F50" s="1">
        <v>0</v>
      </c>
      <c r="G50" s="9">
        <v>0</v>
      </c>
      <c r="H50" s="9">
        <v>0</v>
      </c>
      <c r="I50" s="9">
        <v>0</v>
      </c>
    </row>
    <row r="51" spans="1:9" x14ac:dyDescent="0.25">
      <c r="A51" s="3">
        <v>42968</v>
      </c>
      <c r="B51" s="4">
        <v>21.158000000000001</v>
      </c>
      <c r="C51" s="5">
        <v>25.4</v>
      </c>
      <c r="D51" s="7">
        <v>55</v>
      </c>
      <c r="E51" s="1">
        <v>0</v>
      </c>
      <c r="F51" s="1">
        <v>0</v>
      </c>
      <c r="G51" s="9">
        <f>14.664+8.131+4.353</f>
        <v>27.148000000000003</v>
      </c>
      <c r="H51" s="9">
        <v>0</v>
      </c>
      <c r="I51" s="9">
        <f>4.686+3.247</f>
        <v>7.9329999999999998</v>
      </c>
    </row>
    <row r="52" spans="1:9" x14ac:dyDescent="0.25">
      <c r="A52" s="3">
        <v>42969</v>
      </c>
      <c r="B52" s="4">
        <v>21.279</v>
      </c>
      <c r="C52" s="5">
        <v>25.1</v>
      </c>
      <c r="D52" s="7">
        <v>56</v>
      </c>
      <c r="E52" s="1">
        <v>0</v>
      </c>
      <c r="F52" s="1">
        <v>0</v>
      </c>
      <c r="G52" s="9">
        <f>14.976+7.058+4.199</f>
        <v>26.232999999999997</v>
      </c>
      <c r="H52" s="9">
        <v>0</v>
      </c>
      <c r="I52" s="9">
        <f>3.455+2.827</f>
        <v>6.282</v>
      </c>
    </row>
    <row r="53" spans="1:9" x14ac:dyDescent="0.25">
      <c r="A53" s="3" t="s">
        <v>17</v>
      </c>
      <c r="B53" s="4">
        <v>21.31009090909091</v>
      </c>
      <c r="C53" s="5">
        <v>24.5</v>
      </c>
      <c r="D53" s="7">
        <v>55</v>
      </c>
      <c r="E53" s="1">
        <v>0</v>
      </c>
      <c r="F53" s="1">
        <v>0</v>
      </c>
      <c r="G53" s="9">
        <f>30.7+15.341+5.192</f>
        <v>51.232999999999997</v>
      </c>
      <c r="H53" s="9">
        <v>0</v>
      </c>
      <c r="I53" s="9">
        <f>4.199+4.443</f>
        <v>8.6419999999999995</v>
      </c>
    </row>
    <row r="54" spans="1:9" x14ac:dyDescent="0.25">
      <c r="A54" s="3">
        <v>42971</v>
      </c>
      <c r="B54" s="4">
        <v>21.285</v>
      </c>
      <c r="C54" s="5">
        <v>23</v>
      </c>
      <c r="D54" s="7">
        <v>54</v>
      </c>
      <c r="E54" s="1">
        <v>0</v>
      </c>
      <c r="F54" s="1">
        <v>0</v>
      </c>
      <c r="G54" s="9">
        <v>0</v>
      </c>
      <c r="H54" s="9">
        <v>0</v>
      </c>
      <c r="I54" s="9">
        <v>0</v>
      </c>
    </row>
    <row r="55" spans="1:9" x14ac:dyDescent="0.25">
      <c r="A55" s="3">
        <v>42972</v>
      </c>
      <c r="B55" s="4">
        <v>21.292999999999999</v>
      </c>
      <c r="C55" s="5">
        <v>24.6</v>
      </c>
      <c r="D55" s="7">
        <v>51</v>
      </c>
      <c r="E55" s="1">
        <v>0</v>
      </c>
      <c r="F55" s="1">
        <v>0</v>
      </c>
      <c r="G55" s="9">
        <f>20.133+7.791+3.258</f>
        <v>31.181999999999999</v>
      </c>
      <c r="H55" s="9">
        <v>0</v>
      </c>
      <c r="I55" s="9">
        <f>5.192+0.697+7.963</f>
        <v>13.852</v>
      </c>
    </row>
    <row r="56" spans="1:9" x14ac:dyDescent="0.25">
      <c r="A56" s="3">
        <v>42973</v>
      </c>
      <c r="B56" s="4">
        <v>21.306000000000001</v>
      </c>
      <c r="C56" s="5">
        <v>24</v>
      </c>
      <c r="D56" s="7">
        <v>52</v>
      </c>
      <c r="E56" s="1">
        <v>0</v>
      </c>
      <c r="F56" s="1">
        <v>0</v>
      </c>
      <c r="G56" s="9">
        <v>0</v>
      </c>
      <c r="H56" s="9">
        <v>0</v>
      </c>
      <c r="I56" s="9">
        <v>0</v>
      </c>
    </row>
    <row r="57" spans="1:9" x14ac:dyDescent="0.25">
      <c r="A57" s="3" t="s">
        <v>18</v>
      </c>
      <c r="B57" s="4">
        <v>21.311818181818182</v>
      </c>
      <c r="C57" s="5">
        <v>22.1</v>
      </c>
      <c r="D57" s="7">
        <v>56</v>
      </c>
      <c r="E57" s="1">
        <v>0</v>
      </c>
      <c r="F57" s="1">
        <v>0</v>
      </c>
      <c r="G57" s="9">
        <f>29.326+15.162+15.238</f>
        <v>59.725999999999999</v>
      </c>
      <c r="H57" s="9">
        <v>0</v>
      </c>
      <c r="I57" s="9">
        <f>4.121+11.095</f>
        <v>15.216000000000001</v>
      </c>
    </row>
    <row r="58" spans="1:9" x14ac:dyDescent="0.25">
      <c r="A58" s="3">
        <v>42975</v>
      </c>
      <c r="B58" s="4">
        <v>21.337</v>
      </c>
      <c r="C58" s="5">
        <v>21.5</v>
      </c>
      <c r="D58" s="7">
        <v>61</v>
      </c>
      <c r="E58" s="1">
        <v>0</v>
      </c>
      <c r="F58" s="1">
        <v>0</v>
      </c>
      <c r="G58" s="9">
        <v>0</v>
      </c>
      <c r="H58" s="9">
        <v>0</v>
      </c>
      <c r="I58" s="9">
        <v>0</v>
      </c>
    </row>
    <row r="59" spans="1:9" x14ac:dyDescent="0.25">
      <c r="A59" s="3">
        <v>42976</v>
      </c>
      <c r="B59" s="4">
        <v>21.36</v>
      </c>
      <c r="C59" s="5">
        <v>22.6</v>
      </c>
      <c r="D59" s="7">
        <v>56</v>
      </c>
      <c r="E59" s="1">
        <v>0</v>
      </c>
      <c r="F59" s="1">
        <v>0.1</v>
      </c>
      <c r="G59" s="9">
        <f>30.472+30.319</f>
        <v>60.790999999999997</v>
      </c>
      <c r="H59" s="9">
        <v>0</v>
      </c>
      <c r="I59" s="9">
        <f>4.971+3.496</f>
        <v>8.4670000000000005</v>
      </c>
    </row>
    <row r="60" spans="1:9" x14ac:dyDescent="0.25">
      <c r="A60" s="3" t="s">
        <v>19</v>
      </c>
      <c r="B60" s="4">
        <v>21.471600000000002</v>
      </c>
      <c r="C60" s="5">
        <v>25.5</v>
      </c>
      <c r="D60" s="7">
        <v>50</v>
      </c>
      <c r="E60" s="1">
        <v>0</v>
      </c>
      <c r="F60" s="1">
        <v>0.1</v>
      </c>
      <c r="G60" s="9">
        <f>14.98+7.477+8.06</f>
        <v>30.517000000000003</v>
      </c>
      <c r="H60" s="9">
        <v>0</v>
      </c>
      <c r="I60" s="9">
        <f>16.287+24.786</f>
        <v>41.073</v>
      </c>
    </row>
    <row r="61" spans="1:9" x14ac:dyDescent="0.25">
      <c r="A61" s="3">
        <v>42978</v>
      </c>
      <c r="B61" s="4">
        <v>21.628</v>
      </c>
      <c r="C61" s="5">
        <v>26.9</v>
      </c>
      <c r="D61" s="7">
        <v>46</v>
      </c>
      <c r="E61" s="1">
        <v>0</v>
      </c>
      <c r="F61" s="1">
        <v>0</v>
      </c>
      <c r="G61" s="9">
        <f>21.68+5.201+5.76</f>
        <v>32.640999999999998</v>
      </c>
      <c r="H61" s="9">
        <v>0</v>
      </c>
      <c r="I61" s="9">
        <f>5.724+5.078</f>
        <v>10.802</v>
      </c>
    </row>
    <row r="62" spans="1:9" x14ac:dyDescent="0.25">
      <c r="A62" s="3">
        <v>42979</v>
      </c>
      <c r="B62" s="4">
        <v>21.934999999999999</v>
      </c>
      <c r="C62" s="5">
        <v>18.5</v>
      </c>
      <c r="D62" s="7">
        <v>76</v>
      </c>
      <c r="E62" s="1">
        <v>0</v>
      </c>
      <c r="F62" s="1">
        <v>0.2</v>
      </c>
      <c r="G62" s="9">
        <f>20.273+5.063+5.296</f>
        <v>30.631999999999998</v>
      </c>
      <c r="H62" s="9">
        <v>0</v>
      </c>
      <c r="I62" s="9">
        <f>5.201+0.968+3.978</f>
        <v>10.147</v>
      </c>
    </row>
    <row r="63" spans="1:9" x14ac:dyDescent="0.25">
      <c r="A63" s="3" t="s">
        <v>20</v>
      </c>
      <c r="B63" s="4">
        <v>22.099599999999999</v>
      </c>
      <c r="C63" s="5">
        <v>16.7</v>
      </c>
      <c r="D63" s="7">
        <v>79</v>
      </c>
      <c r="E63" s="1">
        <v>0</v>
      </c>
      <c r="F63" s="1">
        <v>0.2</v>
      </c>
      <c r="G63" s="9">
        <f>60.553+10.1+10.574</f>
        <v>81.22699999999999</v>
      </c>
      <c r="H63" s="9">
        <v>0</v>
      </c>
      <c r="I63" s="9">
        <f>3.123+4.722</f>
        <v>7.8450000000000006</v>
      </c>
    </row>
    <row r="64" spans="1:9" x14ac:dyDescent="0.25">
      <c r="A64" s="3">
        <v>42981</v>
      </c>
      <c r="B64" s="4">
        <v>22.283999999999999</v>
      </c>
      <c r="C64" s="5">
        <v>20.6</v>
      </c>
      <c r="D64" s="7">
        <v>64</v>
      </c>
      <c r="E64" s="1">
        <v>0</v>
      </c>
      <c r="F64" s="1">
        <v>0</v>
      </c>
      <c r="G64" s="9">
        <v>0</v>
      </c>
      <c r="H64" s="9">
        <v>0</v>
      </c>
      <c r="I64" s="9">
        <v>0</v>
      </c>
    </row>
    <row r="65" spans="1:9" x14ac:dyDescent="0.25">
      <c r="A65" s="3">
        <v>42982</v>
      </c>
      <c r="B65" s="4">
        <v>22.399000000000001</v>
      </c>
      <c r="C65" s="5">
        <v>19.7</v>
      </c>
      <c r="D65" s="7">
        <v>76</v>
      </c>
      <c r="E65" s="1">
        <v>0</v>
      </c>
      <c r="F65" s="1">
        <v>0.1</v>
      </c>
      <c r="G65" s="9">
        <f>20.807+5.141+5.511</f>
        <v>31.459</v>
      </c>
      <c r="H65" s="9">
        <v>0</v>
      </c>
      <c r="I65" s="9">
        <f>8.569+9.932</f>
        <v>18.501000000000001</v>
      </c>
    </row>
    <row r="66" spans="1:9" x14ac:dyDescent="0.25">
      <c r="A66" s="3">
        <v>42983</v>
      </c>
      <c r="B66" s="4">
        <v>22.560363636363601</v>
      </c>
      <c r="C66" s="5">
        <v>20</v>
      </c>
      <c r="D66" s="7">
        <v>58</v>
      </c>
      <c r="E66" s="1">
        <v>0</v>
      </c>
      <c r="F66" s="1">
        <v>0.1</v>
      </c>
      <c r="G66" s="9">
        <f>25.33+5.138+5.417</f>
        <v>35.884999999999998</v>
      </c>
      <c r="H66" s="9">
        <v>0</v>
      </c>
      <c r="I66" s="9">
        <f>1.866+3.431</f>
        <v>5.2970000000000006</v>
      </c>
    </row>
    <row r="67" spans="1:9" x14ac:dyDescent="0.25">
      <c r="A67" s="3">
        <v>42984</v>
      </c>
      <c r="B67" s="4">
        <v>22.407</v>
      </c>
      <c r="C67" s="5">
        <v>18.7</v>
      </c>
      <c r="D67" s="7">
        <v>74</v>
      </c>
      <c r="E67" s="1">
        <v>0</v>
      </c>
      <c r="F67" s="1">
        <v>0</v>
      </c>
      <c r="G67" s="9">
        <f>20.646+10.261</f>
        <v>30.907</v>
      </c>
      <c r="H67" s="9">
        <v>0</v>
      </c>
      <c r="I67" s="9">
        <f>2.344+2.46</f>
        <v>4.8040000000000003</v>
      </c>
    </row>
    <row r="68" spans="1:9" x14ac:dyDescent="0.25">
      <c r="A68" s="3">
        <v>42985</v>
      </c>
      <c r="B68" s="4">
        <v>22.385000000000002</v>
      </c>
      <c r="C68" s="5">
        <v>16.5</v>
      </c>
      <c r="D68" s="7">
        <v>74</v>
      </c>
      <c r="E68" s="1">
        <v>0</v>
      </c>
      <c r="F68" s="1">
        <v>0</v>
      </c>
      <c r="G68" s="9">
        <f>21.289+5.839+5.212</f>
        <v>32.340000000000003</v>
      </c>
      <c r="H68" s="9">
        <v>0</v>
      </c>
      <c r="I68" s="9">
        <v>6.5979999999999999</v>
      </c>
    </row>
    <row r="69" spans="1:9" x14ac:dyDescent="0.25">
      <c r="A69" s="3">
        <v>42986</v>
      </c>
      <c r="B69" s="4">
        <v>22.320818181818183</v>
      </c>
      <c r="C69" s="5">
        <v>19.7</v>
      </c>
      <c r="D69" s="7">
        <v>65</v>
      </c>
      <c r="E69" s="1">
        <v>0</v>
      </c>
      <c r="F69" s="1">
        <v>0</v>
      </c>
      <c r="G69" s="9">
        <v>30.773</v>
      </c>
      <c r="H69" s="9">
        <v>0</v>
      </c>
      <c r="I69" s="9">
        <v>1.556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Описание данных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Irror</dc:creator>
  <cp:lastModifiedBy>Сергей Н. Ткаченко</cp:lastModifiedBy>
  <dcterms:created xsi:type="dcterms:W3CDTF">2017-07-19T19:13:53Z</dcterms:created>
  <dcterms:modified xsi:type="dcterms:W3CDTF">2026-01-14T14:33:32Z</dcterms:modified>
</cp:coreProperties>
</file>